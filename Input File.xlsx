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1608f0deeadbf9/Baseball/Lineup Simulator/"/>
    </mc:Choice>
  </mc:AlternateContent>
  <xr:revisionPtr revIDLastSave="133" documentId="8_{D4AD6D5D-9C27-4AB1-9AC5-E4FC8C6B01EB}" xr6:coauthVersionLast="47" xr6:coauthVersionMax="47" xr10:uidLastSave="{7E98E129-9415-47DC-A58F-B7C2A011B40B}"/>
  <bookViews>
    <workbookView xWindow="-120" yWindow="-120" windowWidth="29040" windowHeight="15720" xr2:uid="{EADB653C-136D-43B4-B33D-8D824D1AE80C}"/>
  </bookViews>
  <sheets>
    <sheet name="Input" sheetId="1" r:id="rId1"/>
    <sheet name="Master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K9" i="1"/>
  <c r="G9" i="1"/>
  <c r="F9" i="1"/>
  <c r="E9" i="1"/>
  <c r="L11" i="1"/>
  <c r="K11" i="1"/>
  <c r="F11" i="1"/>
  <c r="E11" i="1"/>
  <c r="L2" i="1"/>
  <c r="K2" i="1"/>
  <c r="F2" i="1"/>
  <c r="E2" i="1"/>
  <c r="C2" i="1"/>
  <c r="F3" i="1"/>
  <c r="C3" i="1"/>
  <c r="F10" i="1"/>
  <c r="H10" i="1"/>
  <c r="E10" i="1"/>
  <c r="L7" i="1"/>
  <c r="F7" i="1"/>
  <c r="H7" i="1"/>
  <c r="G7" i="1"/>
  <c r="E7" i="1"/>
  <c r="C7" i="1"/>
  <c r="L6" i="1"/>
  <c r="K6" i="1"/>
  <c r="G6" i="1"/>
  <c r="E6" i="1"/>
  <c r="C6" i="1"/>
  <c r="F5" i="1"/>
  <c r="E5" i="1"/>
  <c r="L8" i="1"/>
  <c r="F8" i="1"/>
  <c r="D8" i="1"/>
  <c r="K4" i="1"/>
  <c r="I4" i="1"/>
  <c r="E4" i="1"/>
  <c r="C4" i="1"/>
  <c r="C10" i="1"/>
  <c r="D3" i="1"/>
  <c r="C8" i="1"/>
  <c r="M6" i="1"/>
  <c r="L5" i="1"/>
  <c r="J4" i="1"/>
  <c r="G3" i="1"/>
  <c r="H3" i="1"/>
  <c r="J3" i="1"/>
  <c r="K3" i="1"/>
  <c r="L3" i="1"/>
  <c r="M3" i="1"/>
  <c r="G4" i="1"/>
  <c r="H4" i="1"/>
  <c r="L4" i="1"/>
  <c r="M4" i="1"/>
  <c r="C5" i="1"/>
  <c r="D5" i="1"/>
  <c r="G5" i="1"/>
  <c r="H5" i="1"/>
  <c r="I5" i="1"/>
  <c r="K5" i="1"/>
  <c r="M5" i="1"/>
  <c r="D6" i="1"/>
  <c r="H6" i="1"/>
  <c r="I6" i="1"/>
  <c r="J6" i="1"/>
  <c r="D7" i="1"/>
  <c r="I7" i="1"/>
  <c r="J7" i="1"/>
  <c r="K7" i="1"/>
  <c r="M7" i="1"/>
  <c r="G8" i="1"/>
  <c r="H8" i="1"/>
  <c r="J8" i="1"/>
  <c r="K8" i="1"/>
  <c r="M8" i="1"/>
  <c r="C9" i="1"/>
  <c r="D9" i="1"/>
  <c r="H9" i="1"/>
  <c r="I9" i="1"/>
  <c r="J9" i="1"/>
  <c r="L9" i="1"/>
  <c r="D10" i="1"/>
  <c r="G10" i="1"/>
  <c r="J10" i="1"/>
  <c r="K10" i="1"/>
  <c r="L10" i="1"/>
  <c r="M10" i="1"/>
  <c r="C11" i="1"/>
  <c r="G11" i="1"/>
  <c r="H11" i="1"/>
  <c r="J11" i="1"/>
  <c r="M11" i="1"/>
  <c r="M2" i="1"/>
  <c r="I2" i="1"/>
  <c r="H2" i="1"/>
  <c r="G2" i="1"/>
  <c r="F6" i="1" l="1"/>
  <c r="I8" i="1"/>
  <c r="J5" i="1"/>
  <c r="D4" i="1"/>
  <c r="D11" i="1"/>
  <c r="F4" i="1"/>
  <c r="E8" i="1"/>
  <c r="D2" i="1"/>
  <c r="J2" i="1"/>
  <c r="I3" i="1"/>
  <c r="I10" i="1"/>
  <c r="I11" i="1"/>
  <c r="E3" i="1"/>
</calcChain>
</file>

<file path=xl/sharedStrings.xml><?xml version="1.0" encoding="utf-8"?>
<sst xmlns="http://schemas.openxmlformats.org/spreadsheetml/2006/main" count="47" uniqueCount="30">
  <si>
    <t>Player Name</t>
  </si>
  <si>
    <t>Order</t>
  </si>
  <si>
    <t>AB</t>
  </si>
  <si>
    <t>H</t>
  </si>
  <si>
    <t>AVG.</t>
  </si>
  <si>
    <t>SLG.</t>
  </si>
  <si>
    <t>R</t>
  </si>
  <si>
    <t>RBI</t>
  </si>
  <si>
    <t>1B</t>
  </si>
  <si>
    <t>2B</t>
  </si>
  <si>
    <t>3B</t>
  </si>
  <si>
    <t>HR</t>
  </si>
  <si>
    <t>K</t>
  </si>
  <si>
    <t>LOUIE</t>
  </si>
  <si>
    <t>LUKE</t>
  </si>
  <si>
    <t>FARRIS</t>
  </si>
  <si>
    <t>HOWARD</t>
  </si>
  <si>
    <t>WESTON</t>
  </si>
  <si>
    <t>GABE</t>
  </si>
  <si>
    <t>MAC</t>
  </si>
  <si>
    <t>NICHOLAS</t>
  </si>
  <si>
    <t>DAVIS</t>
  </si>
  <si>
    <t>AIDAN</t>
  </si>
  <si>
    <t>STEWART</t>
  </si>
  <si>
    <t>JOHN</t>
  </si>
  <si>
    <t>Player</t>
  </si>
  <si>
    <t>Gabe</t>
  </si>
  <si>
    <t>Luke</t>
  </si>
  <si>
    <t>Aidan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</si>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</sst>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 Narrow Bold"/>
    </font>
    <font>
      <sz val="12"/>
      <color rgb="FF00B050"/>
      <name val="Arial Narrow Bold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4" fillId="0" borderId="0"/>
    <xf numFmtId="9" fontId="5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1"/>
    <xf numFmtId="0" fontId="2" fillId="0" borderId="1" xfId="1" applyFont="1" applyBorder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164" fontId="3" fillId="0" borderId="0" xfId="2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quotePrefix="1" applyNumberFormat="1" applyFont="1" applyAlignment="1">
      <alignment horizontal="center" vertical="center"/>
    </xf>
  </cellXfs>
  <cellStyles count="3">
    <cellStyle name="Normal" xfId="0" builtinId="0"/>
    <cellStyle name="Normal 2" xfId="1" xr:uid="{E014936F-BC13-4458-81A5-6306966E2BCB}"/>
    <cellStyle name="Percent 2" xfId="2" xr:uid="{C3F43F46-54AD-4DB1-8604-ECA7D2DAE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9397-9C5F-4F4A-97AE-E93876D5CC7E}">
  <dimension ref="A1:M13"/>
  <sheetViews>
    <sheetView tabSelected="1" workbookViewId="0">
      <selection activeCell="C5" sqref="C5"/>
    </sheetView>
  </sheetViews>
  <sheetFormatPr defaultColWidth="9" defaultRowHeight="14.4" x14ac:dyDescent="0.3"/>
  <cols>
    <col min="1" max="1" width="11.5546875" bestFit="1" customWidth="1"/>
    <col min="2" max="2" width="15" bestFit="1" customWidth="1"/>
    <col min="3" max="3" width="17.21875" bestFit="1" customWidth="1"/>
    <col min="4" max="5" width="17.44140625" bestFit="1" customWidth="1"/>
  </cols>
  <sheetData>
    <row r="1" spans="1:13" ht="16.8" thickTop="1" thickBot="1" x14ac:dyDescent="0.35">
      <c r="A1" s="1" t="s">
        <v>1</v>
      </c>
      <c r="B1" s="1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" thickTop="1" x14ac:dyDescent="0.3">
      <c r="A2" s="2">
        <v>1</v>
      </c>
      <c r="B2" t="s">
        <v>20</v>
      </c>
      <c r="C2">
        <f>+VLOOKUP(B2,'Master Data'!A:L,2,FALSE)</f>
        <v>23</v>
      </c>
      <c r="D2">
        <f>+VLOOKUP(B2,'Master Data'!A:L,3,FALSE)</f>
        <v>10</v>
      </c>
      <c r="E2">
        <f>+VLOOKUP(B2,'Master Data'!A:L,4,FALSE)</f>
        <v>0.43478260869565216</v>
      </c>
      <c r="F2">
        <f>+VLOOKUP(B2,'Master Data'!A:L,5,FALSE)</f>
        <v>0.43478260869565216</v>
      </c>
      <c r="G2">
        <f>+VLOOKUP(B2,'Master Data'!A:L,6,FALSE)</f>
        <v>2</v>
      </c>
      <c r="H2">
        <f>+VLOOKUP(B2,'Master Data'!A:L,7,FALSE)</f>
        <v>0</v>
      </c>
      <c r="I2">
        <f>+VLOOKUP(B2,'Master Data'!A:L,8,FALSE)</f>
        <v>10</v>
      </c>
      <c r="J2">
        <f>+VLOOKUP(B2,'Master Data'!A:L,9,FALSE)</f>
        <v>0</v>
      </c>
      <c r="K2">
        <f>+VLOOKUP(B2,'Master Data'!A:L,10,FALSE)</f>
        <v>0</v>
      </c>
      <c r="L2">
        <f>+VLOOKUP(B2,'Master Data'!A:L,11,FALSE)</f>
        <v>0</v>
      </c>
      <c r="M2">
        <f>+VLOOKUP(B2,'Master Data'!A:L,12,FALSE)</f>
        <v>7</v>
      </c>
    </row>
    <row r="3" spans="1:13" x14ac:dyDescent="0.3">
      <c r="A3" s="2">
        <v>2</v>
      </c>
      <c r="B3" t="s">
        <v>19</v>
      </c>
      <c r="C3">
        <f>+VLOOKUP(B3,'Master Data'!A:L,2,FALSE)</f>
        <v>25</v>
      </c>
      <c r="D3">
        <f>+VLOOKUP(B3,'Master Data'!A:L,3,FALSE)</f>
        <v>18</v>
      </c>
      <c r="E3">
        <f>+VLOOKUP(B3,'Master Data'!A:L,4,FALSE)</f>
        <v>0.72</v>
      </c>
      <c r="F3">
        <f>+VLOOKUP(B3,'Master Data'!A:L,5,FALSE)</f>
        <v>0.96</v>
      </c>
      <c r="G3">
        <f>+VLOOKUP(B3,'Master Data'!A:L,6,FALSE)</f>
        <v>11</v>
      </c>
      <c r="H3">
        <f>+VLOOKUP(B3,'Master Data'!A:L,7,FALSE)</f>
        <v>5</v>
      </c>
      <c r="I3">
        <f>+VLOOKUP(B3,'Master Data'!A:L,8,FALSE)</f>
        <v>14</v>
      </c>
      <c r="J3">
        <f>+VLOOKUP(B3,'Master Data'!A:L,9,FALSE)</f>
        <v>3</v>
      </c>
      <c r="K3">
        <f>+VLOOKUP(B3,'Master Data'!A:L,10,FALSE)</f>
        <v>0</v>
      </c>
      <c r="L3">
        <f>+VLOOKUP(B3,'Master Data'!A:L,11,FALSE)</f>
        <v>1</v>
      </c>
      <c r="M3">
        <f>+VLOOKUP(B3,'Master Data'!A:L,12,FALSE)</f>
        <v>4</v>
      </c>
    </row>
    <row r="4" spans="1:13" x14ac:dyDescent="0.3">
      <c r="A4" s="2">
        <v>3</v>
      </c>
      <c r="B4" t="s">
        <v>13</v>
      </c>
      <c r="C4">
        <f>+VLOOKUP(B4,'Master Data'!A:L,2,FALSE)</f>
        <v>25</v>
      </c>
      <c r="D4">
        <f>+VLOOKUP(B4,'Master Data'!A:L,3,FALSE)</f>
        <v>16</v>
      </c>
      <c r="E4">
        <f>+VLOOKUP(B4,'Master Data'!A:L,4,FALSE)</f>
        <v>0.64</v>
      </c>
      <c r="F4">
        <f>+VLOOKUP(B4,'Master Data'!A:L,5,FALSE)</f>
        <v>0.8</v>
      </c>
      <c r="G4">
        <f>+VLOOKUP(B4,'Master Data'!A:L,6,FALSE)</f>
        <v>14</v>
      </c>
      <c r="H4">
        <f>+VLOOKUP(B4,'Master Data'!A:L,7,FALSE)</f>
        <v>5</v>
      </c>
      <c r="I4">
        <f>+VLOOKUP(B4,'Master Data'!A:L,8,FALSE)</f>
        <v>14</v>
      </c>
      <c r="J4">
        <f>+VLOOKUP(B4,'Master Data'!A:L,9,FALSE)</f>
        <v>1</v>
      </c>
      <c r="K4">
        <f>+VLOOKUP(B4,'Master Data'!A:L,10,FALSE)</f>
        <v>0</v>
      </c>
      <c r="L4">
        <f>+VLOOKUP(B4,'Master Data'!A:L,11,FALSE)</f>
        <v>1</v>
      </c>
      <c r="M4">
        <f>+VLOOKUP(B4,'Master Data'!A:L,12,FALSE)</f>
        <v>1</v>
      </c>
    </row>
    <row r="5" spans="1:13" x14ac:dyDescent="0.3">
      <c r="A5" s="2">
        <v>4</v>
      </c>
      <c r="B5" t="s">
        <v>29</v>
      </c>
      <c r="C5">
        <f>+VLOOKUP(B5,'Master Data'!A:L,2,FALSE)</f>
        <v>15</v>
      </c>
      <c r="D5">
        <f>+VLOOKUP(B5,'Master Data'!A:L,3,FALSE)</f>
        <v>3</v>
      </c>
      <c r="E5">
        <f>+VLOOKUP(B5,'Master Data'!A:L,4,FALSE)</f>
        <v>0.2</v>
      </c>
      <c r="F5">
        <f>+VLOOKUP(B5,'Master Data'!A:L,5,FALSE)</f>
        <v>0.13333333333333333</v>
      </c>
      <c r="G5">
        <f>+VLOOKUP(B5,'Master Data'!A:L,6,FALSE)</f>
        <v>1</v>
      </c>
      <c r="H5">
        <f>+VLOOKUP(B5,'Master Data'!A:L,7,FALSE)</f>
        <v>0</v>
      </c>
      <c r="I5">
        <f>+VLOOKUP(B5,'Master Data'!A:L,8,FALSE)</f>
        <v>2</v>
      </c>
      <c r="J5">
        <f>+VLOOKUP(B5,'Master Data'!A:L,9,FALSE)</f>
        <v>0</v>
      </c>
      <c r="K5">
        <f>+VLOOKUP(B5,'Master Data'!A:L,10,FALSE)</f>
        <v>0</v>
      </c>
      <c r="L5">
        <f>+VLOOKUP(B5,'Master Data'!A:L,11,FALSE)</f>
        <v>0</v>
      </c>
      <c r="M5">
        <f>+VLOOKUP(B5,'Master Data'!A:L,12,FALSE)</f>
        <v>11</v>
      </c>
    </row>
    <row r="6" spans="1:13" x14ac:dyDescent="0.3">
      <c r="A6" s="2">
        <v>5</v>
      </c>
      <c r="B6" t="s">
        <v>16</v>
      </c>
      <c r="C6">
        <f>+VLOOKUP(B6,'Master Data'!A:L,2,FALSE)</f>
        <v>24</v>
      </c>
      <c r="D6">
        <f>+VLOOKUP(B6,'Master Data'!A:L,3,FALSE)</f>
        <v>12</v>
      </c>
      <c r="E6">
        <f>+VLOOKUP(B6,'Master Data'!A:L,4,FALSE)</f>
        <v>0.5</v>
      </c>
      <c r="F6">
        <f>+VLOOKUP(B6,'Master Data'!A:L,5,FALSE)</f>
        <v>0.70833333333333337</v>
      </c>
      <c r="G6">
        <f>+VLOOKUP(B6,'Master Data'!A:L,6,FALSE)</f>
        <v>7</v>
      </c>
      <c r="H6">
        <f>+VLOOKUP(B6,'Master Data'!A:L,7,FALSE)</f>
        <v>8</v>
      </c>
      <c r="I6">
        <f>+VLOOKUP(B6,'Master Data'!A:L,8,FALSE)</f>
        <v>9</v>
      </c>
      <c r="J6">
        <f>+VLOOKUP(B6,'Master Data'!A:L,9,FALSE)</f>
        <v>1</v>
      </c>
      <c r="K6">
        <f>+VLOOKUP(B6,'Master Data'!A:L,10,FALSE)</f>
        <v>2</v>
      </c>
      <c r="L6">
        <f>+VLOOKUP(B6,'Master Data'!A:L,11,FALSE)</f>
        <v>0</v>
      </c>
      <c r="M6">
        <f>+VLOOKUP(B6,'Master Data'!A:L,12,FALSE)</f>
        <v>5</v>
      </c>
    </row>
    <row r="7" spans="1:13" x14ac:dyDescent="0.3">
      <c r="A7" s="2">
        <v>6</v>
      </c>
      <c r="B7" t="s">
        <v>17</v>
      </c>
      <c r="C7">
        <f>+VLOOKUP(B7,'Master Data'!A:L,2,FALSE)</f>
        <v>23</v>
      </c>
      <c r="D7">
        <f>+VLOOKUP(B7,'Master Data'!A:L,3,FALSE)</f>
        <v>13</v>
      </c>
      <c r="E7">
        <f>+VLOOKUP(B7,'Master Data'!A:L,4,FALSE)</f>
        <v>0.56521739130434778</v>
      </c>
      <c r="F7">
        <f>+VLOOKUP(B7,'Master Data'!A:L,5,FALSE)</f>
        <v>0.82608695652173914</v>
      </c>
      <c r="G7">
        <f>+VLOOKUP(B7,'Master Data'!A:L,6,FALSE)</f>
        <v>4</v>
      </c>
      <c r="H7">
        <f>+VLOOKUP(B7,'Master Data'!A:L,7,FALSE)</f>
        <v>13</v>
      </c>
      <c r="I7">
        <f>+VLOOKUP(B7,'Master Data'!A:L,8,FALSE)</f>
        <v>10</v>
      </c>
      <c r="J7">
        <f>+VLOOKUP(B7,'Master Data'!A:L,9,FALSE)</f>
        <v>1</v>
      </c>
      <c r="K7">
        <f>+VLOOKUP(B7,'Master Data'!A:L,10,FALSE)</f>
        <v>1</v>
      </c>
      <c r="L7">
        <f>+VLOOKUP(B7,'Master Data'!A:L,11,FALSE)</f>
        <v>1</v>
      </c>
      <c r="M7">
        <f>+VLOOKUP(B7,'Master Data'!A:L,12,FALSE)</f>
        <v>1</v>
      </c>
    </row>
    <row r="8" spans="1:13" x14ac:dyDescent="0.3">
      <c r="A8" s="2">
        <v>7</v>
      </c>
      <c r="B8" t="s">
        <v>26</v>
      </c>
      <c r="C8">
        <f>+VLOOKUP(B8,'Master Data'!A:L,2,FALSE)</f>
        <v>22</v>
      </c>
      <c r="D8">
        <f>+VLOOKUP(B8,'Master Data'!A:L,3,FALSE)</f>
        <v>12</v>
      </c>
      <c r="E8">
        <f>+VLOOKUP(B8,'Master Data'!A:L,4,FALSE)</f>
        <v>0.54545454545454541</v>
      </c>
      <c r="F8">
        <f>+VLOOKUP(B8,'Master Data'!A:L,5,FALSE)</f>
        <v>0.63636363636363635</v>
      </c>
      <c r="G8">
        <f>+VLOOKUP(B8,'Master Data'!A:L,6,FALSE)</f>
        <v>5</v>
      </c>
      <c r="H8">
        <f>+VLOOKUP(B8,'Master Data'!A:L,7,FALSE)</f>
        <v>8</v>
      </c>
      <c r="I8">
        <f>+VLOOKUP(B8,'Master Data'!A:L,8,FALSE)</f>
        <v>10</v>
      </c>
      <c r="J8">
        <f>+VLOOKUP(B8,'Master Data'!A:L,9,FALSE)</f>
        <v>2</v>
      </c>
      <c r="K8">
        <f>+VLOOKUP(B8,'Master Data'!A:L,10,FALSE)</f>
        <v>0</v>
      </c>
      <c r="L8">
        <f>+VLOOKUP(B8,'Master Data'!A:L,11,FALSE)</f>
        <v>0</v>
      </c>
      <c r="M8">
        <f>+VLOOKUP(B8,'Master Data'!A:L,12,FALSE)</f>
        <v>7</v>
      </c>
    </row>
    <row r="9" spans="1:13" x14ac:dyDescent="0.3">
      <c r="A9" s="2">
        <v>8</v>
      </c>
      <c r="B9" t="s">
        <v>27</v>
      </c>
      <c r="C9">
        <f>+VLOOKUP(B9,'Master Data'!A:L,2,FALSE)</f>
        <v>18</v>
      </c>
      <c r="D9">
        <f>+VLOOKUP(B9,'Master Data'!A:L,3,FALSE)</f>
        <v>12</v>
      </c>
      <c r="E9">
        <f>+VLOOKUP(B9,'Master Data'!A:L,4,FALSE)</f>
        <v>0.66666666666666663</v>
      </c>
      <c r="F9">
        <f>+VLOOKUP(B9,'Master Data'!A:L,5,FALSE)</f>
        <v>0.72222222222222221</v>
      </c>
      <c r="G9">
        <f>+VLOOKUP(B9,'Master Data'!A:L,6,FALSE)</f>
        <v>4</v>
      </c>
      <c r="H9">
        <f>+VLOOKUP(B9,'Master Data'!A:L,7,FALSE)</f>
        <v>3</v>
      </c>
      <c r="I9">
        <f>+VLOOKUP(B9,'Master Data'!A:L,8,FALSE)</f>
        <v>11</v>
      </c>
      <c r="J9">
        <f>+VLOOKUP(B9,'Master Data'!A:L,9,FALSE)</f>
        <v>1</v>
      </c>
      <c r="K9">
        <f>+VLOOKUP(B9,'Master Data'!A:L,10,FALSE)</f>
        <v>0</v>
      </c>
      <c r="L9">
        <f>+VLOOKUP(B9,'Master Data'!A:L,11,FALSE)</f>
        <v>0</v>
      </c>
      <c r="M9">
        <f>+VLOOKUP(B9,'Master Data'!A:L,12,FALSE)</f>
        <v>1</v>
      </c>
    </row>
    <row r="10" spans="1:13" x14ac:dyDescent="0.3">
      <c r="A10" s="2">
        <v>9</v>
      </c>
      <c r="B10" t="s">
        <v>28</v>
      </c>
      <c r="C10">
        <f>+VLOOKUP(B10,'Master Data'!A:L,2,FALSE)</f>
        <v>20</v>
      </c>
      <c r="D10">
        <f>+VLOOKUP(B10,'Master Data'!A:L,3,FALSE)</f>
        <v>10</v>
      </c>
      <c r="E10">
        <f>+VLOOKUP(B10,'Master Data'!A:L,4,FALSE)</f>
        <v>0.5</v>
      </c>
      <c r="F10">
        <f>+VLOOKUP(B10,'Master Data'!A:L,5,FALSE)</f>
        <v>0.6</v>
      </c>
      <c r="G10">
        <f>+VLOOKUP(B10,'Master Data'!A:L,6,FALSE)</f>
        <v>6</v>
      </c>
      <c r="H10">
        <f>+VLOOKUP(B10,'Master Data'!A:L,7,FALSE)</f>
        <v>3</v>
      </c>
      <c r="I10">
        <f>+VLOOKUP(B10,'Master Data'!A:L,8,FALSE)</f>
        <v>8</v>
      </c>
      <c r="J10">
        <f>+VLOOKUP(B10,'Master Data'!A:L,9,FALSE)</f>
        <v>2</v>
      </c>
      <c r="K10">
        <f>+VLOOKUP(B10,'Master Data'!A:L,10,FALSE)</f>
        <v>0</v>
      </c>
      <c r="L10">
        <f>+VLOOKUP(B10,'Master Data'!A:L,11,FALSE)</f>
        <v>0</v>
      </c>
      <c r="M10">
        <f>+VLOOKUP(B10,'Master Data'!A:L,12,FALSE)</f>
        <v>9</v>
      </c>
    </row>
    <row r="11" spans="1:13" x14ac:dyDescent="0.3">
      <c r="A11" s="2">
        <v>10</v>
      </c>
      <c r="B11" t="s">
        <v>23</v>
      </c>
      <c r="C11">
        <f>+VLOOKUP(B11,'Master Data'!A:L,2,FALSE)</f>
        <v>15</v>
      </c>
      <c r="D11">
        <f>+VLOOKUP(B11,'Master Data'!A:L,3,FALSE)</f>
        <v>1</v>
      </c>
      <c r="E11">
        <f>+VLOOKUP(B11,'Master Data'!A:L,4,FALSE)</f>
        <v>6.6666666666666666E-2</v>
      </c>
      <c r="F11">
        <f>+VLOOKUP(B11,'Master Data'!A:L,5,FALSE)</f>
        <v>6.6666666666666666E-2</v>
      </c>
      <c r="G11">
        <f>+VLOOKUP(B11,'Master Data'!A:L,6,FALSE)</f>
        <v>0</v>
      </c>
      <c r="H11">
        <f>+VLOOKUP(B11,'Master Data'!A:L,7,FALSE)</f>
        <v>0</v>
      </c>
      <c r="I11">
        <f>+VLOOKUP(B11,'Master Data'!A:L,8,FALSE)</f>
        <v>1</v>
      </c>
      <c r="J11">
        <f>+VLOOKUP(B11,'Master Data'!A:L,9,FALSE)</f>
        <v>0</v>
      </c>
      <c r="K11">
        <f>+VLOOKUP(B11,'Master Data'!A:L,10,FALSE)</f>
        <v>0</v>
      </c>
      <c r="L11">
        <f>+VLOOKUP(B11,'Master Data'!A:L,11,FALSE)</f>
        <v>0</v>
      </c>
      <c r="M11">
        <f>+VLOOKUP(B11,'Master Data'!A:L,12,FALSE)</f>
        <v>11</v>
      </c>
    </row>
    <row r="12" spans="1:13" x14ac:dyDescent="0.3">
      <c r="A12" s="2"/>
    </row>
    <row r="13" spans="1:13" x14ac:dyDescent="0.3">
      <c r="A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3362-7FF8-43C9-8212-1ABD2FA596DA}">
  <dimension ref="A1:L13"/>
  <sheetViews>
    <sheetView workbookViewId="0">
      <selection activeCell="A2" sqref="A2:L13"/>
    </sheetView>
  </sheetViews>
  <sheetFormatPr defaultRowHeight="14.4" x14ac:dyDescent="0.3"/>
  <sheetData>
    <row r="1" spans="1:12" ht="16.8" thickTop="1" thickBot="1" x14ac:dyDescent="0.35">
      <c r="A1" s="4" t="s">
        <v>25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spans="1:12" ht="16.2" thickTop="1" x14ac:dyDescent="0.3">
      <c r="A2" s="9" t="s">
        <v>13</v>
      </c>
      <c r="B2" s="9">
        <v>25</v>
      </c>
      <c r="C2" s="9">
        <v>16</v>
      </c>
      <c r="D2" s="7">
        <v>0.64</v>
      </c>
      <c r="E2" s="10">
        <v>0.8</v>
      </c>
      <c r="F2" s="9">
        <v>14</v>
      </c>
      <c r="G2" s="9">
        <v>5</v>
      </c>
      <c r="H2" s="9">
        <v>14</v>
      </c>
      <c r="I2" s="9">
        <v>1</v>
      </c>
      <c r="J2" s="9">
        <v>0</v>
      </c>
      <c r="K2" s="9">
        <v>1</v>
      </c>
      <c r="L2" s="9">
        <v>1</v>
      </c>
    </row>
    <row r="3" spans="1:12" ht="15.6" x14ac:dyDescent="0.3">
      <c r="A3" s="9" t="s">
        <v>14</v>
      </c>
      <c r="B3" s="9">
        <v>18</v>
      </c>
      <c r="C3" s="9">
        <v>12</v>
      </c>
      <c r="D3" s="7">
        <v>0.66666666666666663</v>
      </c>
      <c r="E3" s="10">
        <v>0.72222222222222221</v>
      </c>
      <c r="F3" s="9">
        <v>4</v>
      </c>
      <c r="G3" s="9">
        <v>3</v>
      </c>
      <c r="H3" s="9">
        <v>11</v>
      </c>
      <c r="I3" s="9">
        <v>1</v>
      </c>
      <c r="J3" s="9">
        <v>0</v>
      </c>
      <c r="K3" s="9">
        <v>0</v>
      </c>
      <c r="L3" s="9">
        <v>1</v>
      </c>
    </row>
    <row r="4" spans="1:12" ht="15.6" x14ac:dyDescent="0.3">
      <c r="A4" s="9" t="s">
        <v>15</v>
      </c>
      <c r="B4" s="9">
        <v>24</v>
      </c>
      <c r="C4" s="9">
        <v>21</v>
      </c>
      <c r="D4" s="7">
        <v>0.875</v>
      </c>
      <c r="E4" s="10">
        <v>1.5416666666666667</v>
      </c>
      <c r="F4" s="9">
        <v>14</v>
      </c>
      <c r="G4" s="9">
        <v>17</v>
      </c>
      <c r="H4" s="9">
        <v>15</v>
      </c>
      <c r="I4" s="9">
        <v>0</v>
      </c>
      <c r="J4" s="9">
        <v>2</v>
      </c>
      <c r="K4" s="9">
        <v>4</v>
      </c>
      <c r="L4" s="9">
        <v>1</v>
      </c>
    </row>
    <row r="5" spans="1:12" ht="15.6" x14ac:dyDescent="0.3">
      <c r="A5" s="9" t="s">
        <v>16</v>
      </c>
      <c r="B5" s="9">
        <v>24</v>
      </c>
      <c r="C5" s="9">
        <v>12</v>
      </c>
      <c r="D5" s="6">
        <v>0.5</v>
      </c>
      <c r="E5" s="10">
        <v>0.70833333333333337</v>
      </c>
      <c r="F5" s="9">
        <v>7</v>
      </c>
      <c r="G5" s="9">
        <v>8</v>
      </c>
      <c r="H5" s="9">
        <v>9</v>
      </c>
      <c r="I5" s="9">
        <v>1</v>
      </c>
      <c r="J5" s="9">
        <v>2</v>
      </c>
      <c r="K5" s="9">
        <v>0</v>
      </c>
      <c r="L5" s="9">
        <v>5</v>
      </c>
    </row>
    <row r="6" spans="1:12" ht="15.6" x14ac:dyDescent="0.3">
      <c r="A6" s="9" t="s">
        <v>17</v>
      </c>
      <c r="B6" s="9">
        <v>23</v>
      </c>
      <c r="C6" s="9">
        <v>13</v>
      </c>
      <c r="D6" s="6">
        <v>0.56521739130434778</v>
      </c>
      <c r="E6" s="10">
        <v>0.82608695652173914</v>
      </c>
      <c r="F6" s="9">
        <v>4</v>
      </c>
      <c r="G6" s="9">
        <v>13</v>
      </c>
      <c r="H6" s="9">
        <v>10</v>
      </c>
      <c r="I6" s="9">
        <v>1</v>
      </c>
      <c r="J6" s="9">
        <v>1</v>
      </c>
      <c r="K6" s="9">
        <v>1</v>
      </c>
      <c r="L6" s="9">
        <v>1</v>
      </c>
    </row>
    <row r="7" spans="1:12" ht="15.6" x14ac:dyDescent="0.3">
      <c r="A7" s="9" t="s">
        <v>18</v>
      </c>
      <c r="B7" s="9">
        <v>22</v>
      </c>
      <c r="C7" s="9">
        <v>12</v>
      </c>
      <c r="D7" s="6">
        <v>0.54545454545454541</v>
      </c>
      <c r="E7" s="10">
        <v>0.63636363636363635</v>
      </c>
      <c r="F7" s="9">
        <v>5</v>
      </c>
      <c r="G7" s="9">
        <v>8</v>
      </c>
      <c r="H7" s="9">
        <v>10</v>
      </c>
      <c r="I7" s="9">
        <v>2</v>
      </c>
      <c r="J7" s="9">
        <v>0</v>
      </c>
      <c r="K7" s="9">
        <v>0</v>
      </c>
      <c r="L7" s="9">
        <v>7</v>
      </c>
    </row>
    <row r="8" spans="1:12" ht="15.6" x14ac:dyDescent="0.3">
      <c r="A8" s="9" t="s">
        <v>19</v>
      </c>
      <c r="B8" s="9">
        <v>25</v>
      </c>
      <c r="C8" s="9">
        <v>18</v>
      </c>
      <c r="D8" s="8">
        <v>0.72</v>
      </c>
      <c r="E8" s="10">
        <v>0.96</v>
      </c>
      <c r="F8" s="9">
        <v>11</v>
      </c>
      <c r="G8" s="9">
        <v>5</v>
      </c>
      <c r="H8" s="9">
        <v>14</v>
      </c>
      <c r="I8" s="9">
        <v>3</v>
      </c>
      <c r="J8" s="9">
        <v>0</v>
      </c>
      <c r="K8" s="9">
        <v>1</v>
      </c>
      <c r="L8" s="9">
        <v>4</v>
      </c>
    </row>
    <row r="9" spans="1:12" ht="15.6" x14ac:dyDescent="0.3">
      <c r="A9" s="9" t="s">
        <v>20</v>
      </c>
      <c r="B9" s="9">
        <v>23</v>
      </c>
      <c r="C9" s="9">
        <v>10</v>
      </c>
      <c r="D9" s="7">
        <v>0.43478260869565216</v>
      </c>
      <c r="E9" s="10">
        <v>0.43478260869565216</v>
      </c>
      <c r="F9" s="9">
        <v>2</v>
      </c>
      <c r="G9" s="9">
        <v>0</v>
      </c>
      <c r="H9" s="9">
        <v>10</v>
      </c>
      <c r="I9" s="9">
        <v>0</v>
      </c>
      <c r="J9" s="9">
        <v>0</v>
      </c>
      <c r="K9" s="9">
        <v>0</v>
      </c>
      <c r="L9" s="9">
        <v>7</v>
      </c>
    </row>
    <row r="10" spans="1:12" ht="15.6" x14ac:dyDescent="0.3">
      <c r="A10" s="9" t="s">
        <v>21</v>
      </c>
      <c r="B10" s="9">
        <v>19</v>
      </c>
      <c r="C10" s="9">
        <v>2</v>
      </c>
      <c r="D10" s="6">
        <v>0.10526315789473684</v>
      </c>
      <c r="E10" s="10">
        <v>0.10526315789473684</v>
      </c>
      <c r="F10" s="9">
        <v>1</v>
      </c>
      <c r="G10" s="9">
        <v>0</v>
      </c>
      <c r="H10" s="9">
        <v>2</v>
      </c>
      <c r="I10" s="9">
        <v>0</v>
      </c>
      <c r="J10" s="9">
        <v>0</v>
      </c>
      <c r="K10" s="9">
        <v>0</v>
      </c>
      <c r="L10" s="9">
        <v>14</v>
      </c>
    </row>
    <row r="11" spans="1:12" ht="15.6" x14ac:dyDescent="0.3">
      <c r="A11" s="9" t="s">
        <v>22</v>
      </c>
      <c r="B11" s="9">
        <v>20</v>
      </c>
      <c r="C11" s="9">
        <v>10</v>
      </c>
      <c r="D11" s="6">
        <v>0.5</v>
      </c>
      <c r="E11" s="10">
        <v>0.6</v>
      </c>
      <c r="F11" s="9">
        <v>6</v>
      </c>
      <c r="G11" s="9">
        <v>3</v>
      </c>
      <c r="H11" s="9">
        <v>8</v>
      </c>
      <c r="I11" s="9">
        <v>2</v>
      </c>
      <c r="J11" s="9">
        <v>0</v>
      </c>
      <c r="K11" s="9">
        <v>0</v>
      </c>
      <c r="L11" s="9">
        <v>9</v>
      </c>
    </row>
    <row r="12" spans="1:12" ht="15.6" x14ac:dyDescent="0.3">
      <c r="A12" s="9" t="s">
        <v>23</v>
      </c>
      <c r="B12" s="9">
        <v>15</v>
      </c>
      <c r="C12" s="9">
        <v>1</v>
      </c>
      <c r="D12" s="6">
        <v>6.6666666666666666E-2</v>
      </c>
      <c r="E12" s="10">
        <v>6.6666666666666666E-2</v>
      </c>
      <c r="F12" s="9">
        <v>0</v>
      </c>
      <c r="G12" s="9">
        <v>0</v>
      </c>
      <c r="H12" s="9">
        <v>1</v>
      </c>
      <c r="I12" s="9">
        <v>0</v>
      </c>
      <c r="J12" s="9">
        <v>0</v>
      </c>
      <c r="K12" s="9">
        <v>0</v>
      </c>
      <c r="L12" s="9">
        <v>11</v>
      </c>
    </row>
    <row r="13" spans="1:12" ht="15.6" x14ac:dyDescent="0.3">
      <c r="A13" s="9" t="s">
        <v>24</v>
      </c>
      <c r="B13" s="9">
        <v>15</v>
      </c>
      <c r="C13" s="9">
        <v>3</v>
      </c>
      <c r="D13" s="6">
        <v>0.2</v>
      </c>
      <c r="E13" s="10">
        <v>0.13333333333333333</v>
      </c>
      <c r="F13" s="9">
        <v>1</v>
      </c>
      <c r="G13" s="9">
        <v>0</v>
      </c>
      <c r="H13" s="9">
        <v>2</v>
      </c>
      <c r="I13" s="9">
        <v>0</v>
      </c>
      <c r="J13" s="9">
        <v>0</v>
      </c>
      <c r="K13" s="9">
        <v>0</v>
      </c>
      <c r="L13" s="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hooser</dc:creator>
  <cp:lastModifiedBy>andrew hooser</cp:lastModifiedBy>
  <dcterms:created xsi:type="dcterms:W3CDTF">2025-03-31T21:17:54Z</dcterms:created>
  <dcterms:modified xsi:type="dcterms:W3CDTF">2025-04-29T16:04:52Z</dcterms:modified>
</cp:coreProperties>
</file>